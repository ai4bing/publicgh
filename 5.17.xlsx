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bingxiang/Desktop/Modern Phy Lab/C1-Modern Interferometry/"/>
    </mc:Choice>
  </mc:AlternateContent>
  <xr:revisionPtr revIDLastSave="0" documentId="13_ncr:1_{67D45EC7-644F-8143-A4F9-9B7D059A2441}" xr6:coauthVersionLast="47" xr6:coauthVersionMax="47" xr10:uidLastSave="{00000000-0000-0000-0000-000000000000}"/>
  <bookViews>
    <workbookView xWindow="260" yWindow="500" windowWidth="28260" windowHeight="16880" xr2:uid="{6FEF080E-B627-3740-B302-AE65C264175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4" i="1" l="1"/>
  <c r="C123" i="1"/>
  <c r="C122" i="1"/>
  <c r="A98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49" i="1"/>
  <c r="D26" i="1"/>
  <c r="D27" i="1"/>
  <c r="D28" i="1"/>
  <c r="D29" i="1"/>
  <c r="D30" i="1"/>
  <c r="D31" i="1"/>
  <c r="D32" i="1"/>
  <c r="D33" i="1"/>
  <c r="D35" i="1"/>
  <c r="D36" i="1"/>
  <c r="D37" i="1"/>
  <c r="D38" i="1"/>
  <c r="D39" i="1"/>
  <c r="D40" i="1"/>
  <c r="D41" i="1"/>
  <c r="D42" i="1"/>
  <c r="D43" i="1"/>
  <c r="D3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4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6" i="1"/>
  <c r="H5" i="1"/>
  <c r="H4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21" i="1"/>
</calcChain>
</file>

<file path=xl/sharedStrings.xml><?xml version="1.0" encoding="utf-8"?>
<sst xmlns="http://schemas.openxmlformats.org/spreadsheetml/2006/main" count="48" uniqueCount="30">
  <si>
    <t>空氣折射率</t>
    <phoneticPr fontId="1" type="noConversion"/>
  </si>
  <si>
    <t>電壓 (V)</t>
    <phoneticPr fontId="1" type="noConversion"/>
  </si>
  <si>
    <t>壓力 (atm)</t>
    <phoneticPr fontId="1" type="noConversion"/>
  </si>
  <si>
    <t>counts</t>
    <phoneticPr fontId="1" type="noConversion"/>
  </si>
  <si>
    <t>L=100+-0.1mm</t>
    <phoneticPr fontId="1" type="noConversion"/>
  </si>
  <si>
    <t>IOR</t>
    <phoneticPr fontId="1" type="noConversion"/>
  </si>
  <si>
    <t>count</t>
    <phoneticPr fontId="1" type="noConversion"/>
  </si>
  <si>
    <t>只有洩腔體</t>
    <phoneticPr fontId="1" type="noConversion"/>
  </si>
  <si>
    <t>熱膨脹 (Cu)</t>
    <phoneticPr fontId="1" type="noConversion"/>
  </si>
  <si>
    <t>溫度</t>
    <phoneticPr fontId="1" type="noConversion"/>
  </si>
  <si>
    <t>固定電流時溫度會震盪，不容易測</t>
    <phoneticPr fontId="1" type="noConversion"/>
  </si>
  <si>
    <t>L=6cm</t>
    <phoneticPr fontId="1" type="noConversion"/>
  </si>
  <si>
    <t>κ</t>
    <phoneticPr fontId="1" type="noConversion"/>
  </si>
  <si>
    <t>λ=632.99</t>
    <phoneticPr fontId="1" type="noConversion"/>
  </si>
  <si>
    <t>熱膨脹 (Al)</t>
    <phoneticPr fontId="1" type="noConversion"/>
  </si>
  <si>
    <t>L=7.5cm</t>
    <phoneticPr fontId="1" type="noConversion"/>
  </si>
  <si>
    <t>關閉電流</t>
    <phoneticPr fontId="1" type="noConversion"/>
  </si>
  <si>
    <t>電流 (A)</t>
    <phoneticPr fontId="1" type="noConversion"/>
  </si>
  <si>
    <t>magnetostriction (Cu)</t>
    <phoneticPr fontId="1" type="noConversion"/>
  </si>
  <si>
    <t>開始瘋狂下降</t>
    <phoneticPr fontId="1" type="noConversion"/>
  </si>
  <si>
    <t>30.5cm</t>
    <phoneticPr fontId="1" type="noConversion"/>
  </si>
  <si>
    <t>29.5cm</t>
    <phoneticPr fontId="1" type="noConversion"/>
  </si>
  <si>
    <t>magnetostriction (Ni)</t>
    <phoneticPr fontId="1" type="noConversion"/>
  </si>
  <si>
    <t>30cm</t>
    <phoneticPr fontId="1" type="noConversion"/>
  </si>
  <si>
    <t>開始增加</t>
    <phoneticPr fontId="1" type="noConversion"/>
  </si>
  <si>
    <t>瘋狂增加</t>
    <phoneticPr fontId="1" type="noConversion"/>
  </si>
  <si>
    <t>wavelength (diode)</t>
    <phoneticPr fontId="1" type="noConversion"/>
  </si>
  <si>
    <t>mm</t>
    <phoneticPr fontId="1" type="noConversion"/>
  </si>
  <si>
    <t>wavelength (nm)</t>
    <phoneticPr fontId="1" type="noConversion"/>
  </si>
  <si>
    <t>magnetostriction (Fe)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</si>
</sst>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E+00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037B-F822-B14B-9B81-494FA00D3964}">
  <dimension ref="A2:J124"/>
  <sheetViews>
    <sheetView tabSelected="1" zoomScale="133" workbookViewId="0">
      <selection activeCell="J22" sqref="J22"/>
    </sheetView>
  </sheetViews>
  <sheetFormatPr baseColWidth="10" defaultRowHeight="15"/>
  <cols>
    <col min="3" max="3" width="13" bestFit="1" customWidth="1"/>
    <col min="5" max="5" width="29.33203125" customWidth="1"/>
    <col min="11" max="11" width="12.83203125" bestFit="1" customWidth="1"/>
  </cols>
  <sheetData>
    <row r="2" spans="1:10">
      <c r="A2" t="s">
        <v>0</v>
      </c>
      <c r="B2" t="s">
        <v>7</v>
      </c>
    </row>
    <row r="3" spans="1:10">
      <c r="A3" t="s">
        <v>1</v>
      </c>
      <c r="B3" t="s">
        <v>2</v>
      </c>
      <c r="C3" t="s">
        <v>3</v>
      </c>
      <c r="D3" t="s">
        <v>4</v>
      </c>
      <c r="E3" t="s">
        <v>5</v>
      </c>
      <c r="G3" t="s">
        <v>1</v>
      </c>
      <c r="H3" t="s">
        <v>2</v>
      </c>
      <c r="I3" t="s">
        <v>3</v>
      </c>
    </row>
    <row r="4" spans="1:10">
      <c r="A4">
        <v>8.5</v>
      </c>
      <c r="B4">
        <f>(A4+0.029)/10</f>
        <v>0.85289999999999999</v>
      </c>
      <c r="C4">
        <v>0</v>
      </c>
      <c r="E4">
        <f>C4*632.99/4/2/100000000+1</f>
        <v>1</v>
      </c>
      <c r="G4">
        <v>8.1999999999999993</v>
      </c>
      <c r="H4">
        <f>(G4+0.029)/10</f>
        <v>0.82289999999999996</v>
      </c>
      <c r="I4">
        <v>0</v>
      </c>
      <c r="J4">
        <f>I4*632.99/4/2/100000000+1</f>
        <v>1</v>
      </c>
    </row>
    <row r="5" spans="1:10">
      <c r="A5">
        <v>7.7</v>
      </c>
      <c r="B5">
        <f>(A5+0.029)/10</f>
        <v>0.77290000000000003</v>
      </c>
      <c r="C5">
        <v>30</v>
      </c>
      <c r="E5">
        <f t="shared" ref="E5:E21" si="0">C5*632.99/4/2/100000000+1</f>
        <v>1.000023737125</v>
      </c>
      <c r="G5">
        <v>7.8</v>
      </c>
      <c r="H5">
        <f>(G5+0.029)/10</f>
        <v>0.78289999999999993</v>
      </c>
      <c r="I5">
        <v>12</v>
      </c>
      <c r="J5">
        <f t="shared" ref="J5:J21" si="1">I5*632.99/4/2/100000000+1</f>
        <v>1.00000949485</v>
      </c>
    </row>
    <row r="6" spans="1:10">
      <c r="A6">
        <v>7.2</v>
      </c>
      <c r="B6">
        <f>(A6+0.029)/10</f>
        <v>0.72289999999999999</v>
      </c>
      <c r="C6">
        <v>45</v>
      </c>
      <c r="E6">
        <f t="shared" si="0"/>
        <v>1.0000356056874999</v>
      </c>
      <c r="G6">
        <v>7.4</v>
      </c>
      <c r="H6">
        <f>(G6+0.029)/10</f>
        <v>0.7429</v>
      </c>
      <c r="I6">
        <v>28</v>
      </c>
      <c r="J6">
        <f t="shared" si="1"/>
        <v>1.0000221546500001</v>
      </c>
    </row>
    <row r="7" spans="1:10">
      <c r="A7">
        <v>6.7</v>
      </c>
      <c r="B7">
        <f>(A7+0.029)/10</f>
        <v>0.67290000000000005</v>
      </c>
      <c r="C7">
        <v>60</v>
      </c>
      <c r="E7">
        <f t="shared" si="0"/>
        <v>1.0000474742500001</v>
      </c>
      <c r="G7">
        <v>7</v>
      </c>
      <c r="H7">
        <f t="shared" ref="H7:H21" si="2">(G7+0.029)/10</f>
        <v>0.70289999999999997</v>
      </c>
      <c r="I7">
        <v>42</v>
      </c>
      <c r="J7">
        <f t="shared" si="1"/>
        <v>1.000033231975</v>
      </c>
    </row>
    <row r="8" spans="1:10">
      <c r="A8">
        <v>6.2</v>
      </c>
      <c r="B8">
        <f>(A8+0.029)/10</f>
        <v>0.62290000000000001</v>
      </c>
      <c r="C8">
        <v>78</v>
      </c>
      <c r="E8">
        <f t="shared" si="0"/>
        <v>1.0000617165250001</v>
      </c>
      <c r="G8">
        <v>6.5</v>
      </c>
      <c r="H8">
        <f t="shared" si="2"/>
        <v>0.65290000000000004</v>
      </c>
      <c r="I8">
        <v>59</v>
      </c>
      <c r="J8">
        <f t="shared" si="1"/>
        <v>1.0000466830125001</v>
      </c>
    </row>
    <row r="9" spans="1:10">
      <c r="A9">
        <v>5.7</v>
      </c>
      <c r="B9">
        <f>(A9+0.029)/10</f>
        <v>0.57289999999999996</v>
      </c>
      <c r="C9">
        <v>94</v>
      </c>
      <c r="E9">
        <f t="shared" si="0"/>
        <v>1.000074376325</v>
      </c>
      <c r="G9">
        <v>6</v>
      </c>
      <c r="H9">
        <f t="shared" si="2"/>
        <v>0.60289999999999999</v>
      </c>
      <c r="I9">
        <v>76</v>
      </c>
      <c r="J9">
        <f t="shared" si="1"/>
        <v>1.0000601340499999</v>
      </c>
    </row>
    <row r="10" spans="1:10">
      <c r="A10">
        <v>5.2</v>
      </c>
      <c r="B10">
        <f>(A10+0.029)/10</f>
        <v>0.52290000000000003</v>
      </c>
      <c r="C10">
        <v>110</v>
      </c>
      <c r="E10">
        <f t="shared" si="0"/>
        <v>1.0000870361250001</v>
      </c>
      <c r="G10">
        <v>5.5</v>
      </c>
      <c r="H10">
        <f t="shared" si="2"/>
        <v>0.55289999999999995</v>
      </c>
      <c r="I10">
        <v>92</v>
      </c>
      <c r="J10">
        <f t="shared" si="1"/>
        <v>1.00007279385</v>
      </c>
    </row>
    <row r="11" spans="1:10">
      <c r="A11">
        <v>4.7</v>
      </c>
      <c r="B11">
        <f>(A11+0.029)/10</f>
        <v>0.47289999999999999</v>
      </c>
      <c r="C11">
        <v>128</v>
      </c>
      <c r="E11">
        <f t="shared" si="0"/>
        <v>1.0001012784000001</v>
      </c>
      <c r="G11">
        <v>5</v>
      </c>
      <c r="H11">
        <f t="shared" si="2"/>
        <v>0.50290000000000001</v>
      </c>
      <c r="I11">
        <v>109</v>
      </c>
      <c r="J11">
        <f t="shared" si="1"/>
        <v>1.0000862448875001</v>
      </c>
    </row>
    <row r="12" spans="1:10">
      <c r="A12">
        <v>4.2</v>
      </c>
      <c r="B12">
        <f>(A12+0.029)/10</f>
        <v>0.4229</v>
      </c>
      <c r="C12">
        <v>146</v>
      </c>
      <c r="E12">
        <f t="shared" si="0"/>
        <v>1.0001155206750001</v>
      </c>
      <c r="G12">
        <v>4.5</v>
      </c>
      <c r="H12">
        <f t="shared" si="2"/>
        <v>0.45289999999999997</v>
      </c>
      <c r="I12">
        <v>126</v>
      </c>
      <c r="J12">
        <f t="shared" si="1"/>
        <v>1.0000996959249999</v>
      </c>
    </row>
    <row r="13" spans="1:10">
      <c r="A13">
        <v>3.7</v>
      </c>
      <c r="B13">
        <f>(A13+0.029)/10</f>
        <v>0.37290000000000001</v>
      </c>
      <c r="C13">
        <v>162</v>
      </c>
      <c r="E13">
        <f t="shared" si="0"/>
        <v>1.000128180475</v>
      </c>
      <c r="G13">
        <v>4</v>
      </c>
      <c r="H13">
        <f t="shared" si="2"/>
        <v>0.40289999999999998</v>
      </c>
      <c r="I13">
        <v>143</v>
      </c>
      <c r="J13">
        <f t="shared" si="1"/>
        <v>1.0001131469625</v>
      </c>
    </row>
    <row r="14" spans="1:10">
      <c r="A14">
        <v>2.7</v>
      </c>
      <c r="B14">
        <f>(A14+0.029)/10</f>
        <v>0.27290000000000003</v>
      </c>
      <c r="C14">
        <v>195</v>
      </c>
      <c r="E14">
        <f t="shared" si="0"/>
        <v>1.0001542913125001</v>
      </c>
      <c r="G14">
        <v>3.5</v>
      </c>
      <c r="H14">
        <f t="shared" si="2"/>
        <v>0.35289999999999999</v>
      </c>
      <c r="I14">
        <v>159</v>
      </c>
      <c r="J14">
        <f t="shared" si="1"/>
        <v>1.0001258067625001</v>
      </c>
    </row>
    <row r="15" spans="1:10">
      <c r="A15">
        <v>1.2</v>
      </c>
      <c r="B15">
        <f>(A15+0.029)/10</f>
        <v>0.12289999999999998</v>
      </c>
      <c r="C15">
        <v>246</v>
      </c>
      <c r="E15">
        <f t="shared" si="0"/>
        <v>1.0001946444250001</v>
      </c>
      <c r="G15">
        <v>3</v>
      </c>
      <c r="H15">
        <f t="shared" si="2"/>
        <v>0.3029</v>
      </c>
      <c r="I15">
        <v>176</v>
      </c>
      <c r="J15">
        <f t="shared" si="1"/>
        <v>1.0001392577999999</v>
      </c>
    </row>
    <row r="16" spans="1:10">
      <c r="A16">
        <v>0.7</v>
      </c>
      <c r="B16">
        <f>(A16+0.029)/10</f>
        <v>7.2899999999999993E-2</v>
      </c>
      <c r="C16">
        <v>262</v>
      </c>
      <c r="E16">
        <f t="shared" si="0"/>
        <v>1.0002073042249999</v>
      </c>
      <c r="G16">
        <v>2.5</v>
      </c>
      <c r="H16">
        <f t="shared" si="2"/>
        <v>0.25290000000000001</v>
      </c>
      <c r="I16">
        <v>192</v>
      </c>
      <c r="J16">
        <f t="shared" si="1"/>
        <v>1.0001519176</v>
      </c>
    </row>
    <row r="17" spans="1:10">
      <c r="A17">
        <v>0.2</v>
      </c>
      <c r="B17">
        <f>(A17+0.029)/10</f>
        <v>2.29E-2</v>
      </c>
      <c r="C17">
        <v>279</v>
      </c>
      <c r="E17">
        <f t="shared" si="0"/>
        <v>1.0002207552625</v>
      </c>
      <c r="G17">
        <v>2</v>
      </c>
      <c r="H17">
        <f t="shared" si="2"/>
        <v>0.2029</v>
      </c>
      <c r="I17">
        <v>210</v>
      </c>
      <c r="J17">
        <f t="shared" si="1"/>
        <v>1.000166159875</v>
      </c>
    </row>
    <row r="18" spans="1:10">
      <c r="A18">
        <v>0.1</v>
      </c>
      <c r="B18">
        <f>(A18+0.029)/10</f>
        <v>1.29E-2</v>
      </c>
      <c r="C18">
        <v>283</v>
      </c>
      <c r="E18">
        <f t="shared" si="0"/>
        <v>1.0002239202125001</v>
      </c>
      <c r="G18">
        <v>1.5</v>
      </c>
      <c r="H18">
        <f t="shared" si="2"/>
        <v>0.15289999999999998</v>
      </c>
      <c r="I18">
        <v>226</v>
      </c>
      <c r="J18">
        <f t="shared" si="1"/>
        <v>1.0001788196750001</v>
      </c>
    </row>
    <row r="19" spans="1:10">
      <c r="A19">
        <v>0.05</v>
      </c>
      <c r="B19">
        <f>(A19+0.029)/10</f>
        <v>7.9000000000000008E-3</v>
      </c>
      <c r="C19">
        <v>284</v>
      </c>
      <c r="E19">
        <f t="shared" si="0"/>
        <v>1.00022471145</v>
      </c>
      <c r="G19">
        <v>1</v>
      </c>
      <c r="H19">
        <f t="shared" si="2"/>
        <v>0.10289999999999999</v>
      </c>
      <c r="I19">
        <v>243</v>
      </c>
      <c r="J19">
        <f t="shared" si="1"/>
        <v>1.0001922707124999</v>
      </c>
    </row>
    <row r="20" spans="1:10">
      <c r="A20">
        <v>-2.5000000000000001E-2</v>
      </c>
      <c r="B20">
        <f>(A20+0.029)/10</f>
        <v>4.0000000000000002E-4</v>
      </c>
      <c r="C20">
        <v>285</v>
      </c>
      <c r="E20">
        <f t="shared" si="0"/>
        <v>1.0002255026875</v>
      </c>
      <c r="G20">
        <v>0.5</v>
      </c>
      <c r="H20">
        <f t="shared" si="2"/>
        <v>5.2900000000000003E-2</v>
      </c>
      <c r="I20">
        <v>259</v>
      </c>
      <c r="J20">
        <f t="shared" si="1"/>
        <v>1.0002049305125</v>
      </c>
    </row>
    <row r="21" spans="1:10">
      <c r="A21">
        <v>-2.9000000000000001E-2</v>
      </c>
      <c r="B21">
        <f>(A21+0.029)/10</f>
        <v>0</v>
      </c>
      <c r="C21">
        <v>285</v>
      </c>
      <c r="E21">
        <f t="shared" si="0"/>
        <v>1.0002255026875</v>
      </c>
      <c r="G21">
        <v>-2.9000000000000001E-2</v>
      </c>
      <c r="H21">
        <f t="shared" si="2"/>
        <v>0</v>
      </c>
      <c r="I21">
        <v>276</v>
      </c>
      <c r="J21">
        <f t="shared" si="1"/>
        <v>1.0002183815500001</v>
      </c>
    </row>
    <row r="22" spans="1:10">
      <c r="E22">
        <v>1.0003</v>
      </c>
    </row>
    <row r="24" spans="1:10">
      <c r="A24" t="s">
        <v>8</v>
      </c>
      <c r="C24" t="s">
        <v>10</v>
      </c>
    </row>
    <row r="25" spans="1:10">
      <c r="A25" t="s">
        <v>3</v>
      </c>
      <c r="B25" t="s">
        <v>9</v>
      </c>
      <c r="C25" t="s">
        <v>11</v>
      </c>
      <c r="D25" t="s">
        <v>12</v>
      </c>
      <c r="E25" t="s">
        <v>13</v>
      </c>
    </row>
    <row r="26" spans="1:10">
      <c r="A26">
        <v>0</v>
      </c>
      <c r="B26">
        <v>23.5</v>
      </c>
      <c r="D26" s="1">
        <f>1/60000000*(A26-235)*2/4*632.99/(B26-35)</f>
        <v>1.0779177536231884E-4</v>
      </c>
      <c r="H26" s="1"/>
    </row>
    <row r="27" spans="1:10">
      <c r="A27">
        <v>7</v>
      </c>
      <c r="B27">
        <v>25</v>
      </c>
      <c r="D27" s="1">
        <f>1/60000000*(A27-235)*2/4*632.99/(B27-35)</f>
        <v>1.2026809999999999E-4</v>
      </c>
      <c r="H27" s="1"/>
    </row>
    <row r="28" spans="1:10">
      <c r="A28">
        <v>82</v>
      </c>
      <c r="B28">
        <v>30</v>
      </c>
      <c r="D28" s="1">
        <f>1/60000000*(A28-235)*2/4*632.99/(B28-35)</f>
        <v>1.6141245000000001E-4</v>
      </c>
      <c r="H28" s="1"/>
    </row>
    <row r="29" spans="1:10">
      <c r="A29">
        <v>163</v>
      </c>
      <c r="B29">
        <v>35</v>
      </c>
      <c r="D29" s="1" t="e">
        <f>1/60000000*(A29-235)*2/4*632.99/(B29-35)</f>
        <v>#DIV/0!</v>
      </c>
      <c r="H29" s="1"/>
    </row>
    <row r="30" spans="1:10">
      <c r="A30">
        <v>250</v>
      </c>
      <c r="B30">
        <v>40</v>
      </c>
      <c r="D30" s="1">
        <f>1/60000000*(A30-235)*2/4*632.99/(B30-35)</f>
        <v>1.5824749999999998E-5</v>
      </c>
      <c r="H30" s="1"/>
    </row>
    <row r="31" spans="1:10">
      <c r="A31">
        <v>357</v>
      </c>
      <c r="B31">
        <v>45</v>
      </c>
      <c r="D31" s="1">
        <f>1/60000000*(A31-235)*2/4*632.99/(B31-35)</f>
        <v>6.4353983333333338E-5</v>
      </c>
      <c r="H31" s="1"/>
    </row>
    <row r="32" spans="1:10">
      <c r="A32">
        <v>455</v>
      </c>
      <c r="B32">
        <v>50</v>
      </c>
      <c r="D32" s="1">
        <f>1/60000000*(A32-235)*2/4*632.99/(B32-35)</f>
        <v>7.7365444444444439E-5</v>
      </c>
      <c r="H32" s="1"/>
    </row>
    <row r="33" spans="1:8">
      <c r="A33">
        <v>519</v>
      </c>
      <c r="B33">
        <v>55</v>
      </c>
      <c r="D33" s="1">
        <f>1/60000000*(A33-235)*2/4*632.99/(B33-35)</f>
        <v>7.4903816666666676E-5</v>
      </c>
      <c r="H33" s="1"/>
    </row>
    <row r="34" spans="1:8">
      <c r="A34">
        <v>585</v>
      </c>
      <c r="B34">
        <v>60</v>
      </c>
      <c r="D34" s="1">
        <f>1/60000000*(A34-235)*2/4*632.99/(B34-35)</f>
        <v>7.384883333333333E-5</v>
      </c>
      <c r="H34" s="1"/>
    </row>
    <row r="35" spans="1:8">
      <c r="A35">
        <v>671</v>
      </c>
      <c r="B35">
        <v>65</v>
      </c>
      <c r="D35" s="1">
        <f>1/60000000*(A35-235)*2/4*632.99/(B35-35)</f>
        <v>7.666212222222223E-5</v>
      </c>
      <c r="H35" s="1"/>
    </row>
    <row r="36" spans="1:8">
      <c r="A36">
        <v>799</v>
      </c>
      <c r="B36">
        <v>70</v>
      </c>
      <c r="D36" s="1">
        <f>1/60000000*(A36-235)*2/4*632.99/(B36-35)</f>
        <v>8.5001514285714284E-5</v>
      </c>
      <c r="H36" s="1"/>
    </row>
    <row r="37" spans="1:8">
      <c r="A37">
        <v>773</v>
      </c>
      <c r="B37">
        <v>65</v>
      </c>
      <c r="D37" s="1">
        <f>1/60000000*(A37-235)*2/4*632.99/(B37-35)</f>
        <v>9.4596838888888883E-5</v>
      </c>
      <c r="H37" s="1"/>
    </row>
    <row r="38" spans="1:8">
      <c r="A38">
        <v>711</v>
      </c>
      <c r="B38">
        <v>60</v>
      </c>
      <c r="D38" s="1">
        <f>1/60000000*(A38-235)*2/4*632.99/(B38-35)</f>
        <v>1.0043441333333335E-4</v>
      </c>
      <c r="H38" s="1"/>
    </row>
    <row r="39" spans="1:8">
      <c r="A39">
        <v>639</v>
      </c>
      <c r="B39">
        <v>55</v>
      </c>
      <c r="D39" s="1">
        <f>1/60000000*(A39-235)*2/4*632.99/(B39-35)</f>
        <v>1.0655331666666668E-4</v>
      </c>
      <c r="H39" s="1"/>
    </row>
    <row r="40" spans="1:8">
      <c r="A40">
        <v>555</v>
      </c>
      <c r="B40">
        <v>50</v>
      </c>
      <c r="D40" s="1">
        <f>1/60000000*(A40-235)*2/4*632.99/(B40-35)</f>
        <v>1.1253155555555556E-4</v>
      </c>
      <c r="H40" s="1"/>
    </row>
    <row r="41" spans="1:8">
      <c r="A41">
        <v>465</v>
      </c>
      <c r="B41">
        <v>45</v>
      </c>
      <c r="D41" s="1">
        <f>1/60000000*(A41-235)*2/4*632.99/(B41-35)</f>
        <v>1.2132308333333333E-4</v>
      </c>
      <c r="H41" s="1"/>
    </row>
    <row r="42" spans="1:8">
      <c r="A42">
        <v>355</v>
      </c>
      <c r="B42">
        <v>40</v>
      </c>
      <c r="D42" s="1">
        <f>1/60000000*(A42-235)*2/4*632.99/(B42-35)</f>
        <v>1.2659799999999998E-4</v>
      </c>
      <c r="H42" s="1"/>
    </row>
    <row r="43" spans="1:8">
      <c r="A43">
        <v>235</v>
      </c>
      <c r="B43">
        <v>35</v>
      </c>
      <c r="D43" s="1" t="e">
        <f>1/60000000*(A43-235)*2/4*632.99/(B43-35)</f>
        <v>#DIV/0!</v>
      </c>
      <c r="H43" s="1"/>
    </row>
    <row r="46" spans="1:8">
      <c r="A46" t="s">
        <v>14</v>
      </c>
    </row>
    <row r="47" spans="1:8">
      <c r="A47" t="s">
        <v>3</v>
      </c>
      <c r="B47" t="s">
        <v>9</v>
      </c>
      <c r="C47" t="s">
        <v>15</v>
      </c>
      <c r="D47" t="s">
        <v>12</v>
      </c>
    </row>
    <row r="48" spans="1:8">
      <c r="B48">
        <v>24.5</v>
      </c>
    </row>
    <row r="49" spans="1:4">
      <c r="A49">
        <v>0</v>
      </c>
      <c r="B49">
        <v>26</v>
      </c>
      <c r="D49" t="e">
        <f>1/75000000*(A49-0)/2*632.99/(B49-26)</f>
        <v>#DIV/0!</v>
      </c>
    </row>
    <row r="50" spans="1:4">
      <c r="A50">
        <v>1</v>
      </c>
      <c r="B50">
        <v>30</v>
      </c>
      <c r="D50">
        <f t="shared" ref="D50:D65" si="3">1/75000000*(A50-0)/2*632.99/(B50-26)</f>
        <v>1.0549833333333334E-6</v>
      </c>
    </row>
    <row r="51" spans="1:4">
      <c r="A51">
        <v>5</v>
      </c>
      <c r="B51">
        <v>35</v>
      </c>
      <c r="D51">
        <f t="shared" si="3"/>
        <v>2.3444074074074074E-6</v>
      </c>
    </row>
    <row r="52" spans="1:4">
      <c r="A52">
        <v>12</v>
      </c>
      <c r="B52">
        <v>40</v>
      </c>
      <c r="D52">
        <f t="shared" si="3"/>
        <v>3.6170857142857145E-6</v>
      </c>
    </row>
    <row r="53" spans="1:4">
      <c r="A53">
        <v>29</v>
      </c>
      <c r="B53">
        <v>45</v>
      </c>
      <c r="D53">
        <f t="shared" si="3"/>
        <v>6.4409508771929832E-6</v>
      </c>
    </row>
    <row r="54" spans="1:4">
      <c r="A54">
        <v>50</v>
      </c>
      <c r="B54">
        <v>50</v>
      </c>
      <c r="D54">
        <f t="shared" si="3"/>
        <v>8.7915277777777794E-6</v>
      </c>
    </row>
    <row r="55" spans="1:4">
      <c r="A55">
        <v>61</v>
      </c>
      <c r="B55">
        <v>55</v>
      </c>
      <c r="D55">
        <f t="shared" si="3"/>
        <v>8.8764114942528747E-6</v>
      </c>
    </row>
    <row r="56" spans="1:4">
      <c r="A56">
        <v>91</v>
      </c>
      <c r="B56">
        <v>60</v>
      </c>
      <c r="D56">
        <f t="shared" si="3"/>
        <v>1.1294527450980391E-5</v>
      </c>
    </row>
    <row r="57" spans="1:4">
      <c r="A57">
        <v>129</v>
      </c>
      <c r="B57">
        <v>65</v>
      </c>
      <c r="D57">
        <f t="shared" si="3"/>
        <v>1.3958241025641026E-5</v>
      </c>
    </row>
    <row r="58" spans="1:4">
      <c r="A58">
        <v>151</v>
      </c>
      <c r="B58">
        <v>70</v>
      </c>
      <c r="D58">
        <f t="shared" si="3"/>
        <v>1.4482043939393939E-5</v>
      </c>
    </row>
    <row r="59" spans="1:4">
      <c r="A59">
        <v>154</v>
      </c>
      <c r="B59">
        <v>65</v>
      </c>
      <c r="C59" t="s">
        <v>16</v>
      </c>
      <c r="D59">
        <f t="shared" si="3"/>
        <v>1.6663326495726498E-5</v>
      </c>
    </row>
    <row r="60" spans="1:4">
      <c r="A60">
        <v>154</v>
      </c>
      <c r="B60">
        <v>60</v>
      </c>
      <c r="D60">
        <f t="shared" si="3"/>
        <v>1.9113815686274511E-5</v>
      </c>
    </row>
    <row r="61" spans="1:4">
      <c r="A61">
        <v>154</v>
      </c>
      <c r="B61">
        <v>55</v>
      </c>
      <c r="D61">
        <f t="shared" si="3"/>
        <v>2.2409301149425287E-5</v>
      </c>
    </row>
    <row r="62" spans="1:4">
      <c r="A62">
        <v>153</v>
      </c>
      <c r="B62">
        <v>50</v>
      </c>
      <c r="D62">
        <f t="shared" si="3"/>
        <v>2.6902075000000003E-5</v>
      </c>
    </row>
    <row r="63" spans="1:4">
      <c r="A63">
        <v>143</v>
      </c>
      <c r="B63">
        <v>45</v>
      </c>
      <c r="D63">
        <f t="shared" si="3"/>
        <v>3.1760550877192984E-5</v>
      </c>
    </row>
    <row r="64" spans="1:4">
      <c r="A64">
        <v>113</v>
      </c>
      <c r="B64">
        <v>40</v>
      </c>
      <c r="D64">
        <f t="shared" si="3"/>
        <v>3.4060890476190475E-5</v>
      </c>
    </row>
    <row r="65" spans="1:8">
      <c r="A65">
        <v>80</v>
      </c>
      <c r="B65">
        <v>35</v>
      </c>
      <c r="D65">
        <f t="shared" si="3"/>
        <v>3.7510518518518519E-5</v>
      </c>
    </row>
    <row r="67" spans="1:8">
      <c r="A67" t="s">
        <v>18</v>
      </c>
    </row>
    <row r="68" spans="1:8">
      <c r="A68" t="s">
        <v>3</v>
      </c>
      <c r="B68" t="s">
        <v>17</v>
      </c>
      <c r="C68" t="s">
        <v>9</v>
      </c>
      <c r="D68" t="s">
        <v>20</v>
      </c>
      <c r="F68" t="s">
        <v>3</v>
      </c>
      <c r="G68" t="s">
        <v>17</v>
      </c>
      <c r="H68" t="s">
        <v>9</v>
      </c>
    </row>
    <row r="69" spans="1:8">
      <c r="A69">
        <v>0</v>
      </c>
      <c r="B69">
        <v>0</v>
      </c>
      <c r="C69">
        <v>24.2</v>
      </c>
      <c r="F69">
        <v>0</v>
      </c>
      <c r="G69">
        <v>0</v>
      </c>
      <c r="H69">
        <v>24.2</v>
      </c>
    </row>
    <row r="70" spans="1:8">
      <c r="A70">
        <v>2</v>
      </c>
      <c r="B70">
        <v>0.2</v>
      </c>
      <c r="C70">
        <v>24.2</v>
      </c>
      <c r="G70">
        <v>0.4</v>
      </c>
      <c r="H70">
        <v>24.2</v>
      </c>
    </row>
    <row r="71" spans="1:8">
      <c r="A71">
        <v>2</v>
      </c>
      <c r="B71">
        <v>0.4</v>
      </c>
      <c r="C71">
        <v>24.2</v>
      </c>
      <c r="G71">
        <v>0.8</v>
      </c>
      <c r="H71">
        <v>24.2</v>
      </c>
    </row>
    <row r="72" spans="1:8">
      <c r="A72">
        <v>2</v>
      </c>
      <c r="B72">
        <v>0.6</v>
      </c>
      <c r="C72">
        <v>22</v>
      </c>
      <c r="G72">
        <v>1.2</v>
      </c>
      <c r="H72">
        <v>22</v>
      </c>
    </row>
    <row r="73" spans="1:8">
      <c r="A73">
        <v>2</v>
      </c>
      <c r="B73">
        <v>0.8</v>
      </c>
      <c r="C73">
        <v>22.2</v>
      </c>
      <c r="G73">
        <v>1.6</v>
      </c>
      <c r="H73">
        <v>22.2</v>
      </c>
    </row>
    <row r="74" spans="1:8">
      <c r="A74">
        <v>2</v>
      </c>
      <c r="B74">
        <v>1</v>
      </c>
      <c r="C74">
        <v>21.8</v>
      </c>
      <c r="G74">
        <v>2</v>
      </c>
      <c r="H74">
        <v>21.8</v>
      </c>
    </row>
    <row r="75" spans="1:8">
      <c r="A75">
        <v>2</v>
      </c>
      <c r="B75">
        <v>1.2</v>
      </c>
      <c r="C75">
        <v>22.2</v>
      </c>
      <c r="G75">
        <v>1.6</v>
      </c>
      <c r="H75">
        <v>22.2</v>
      </c>
    </row>
    <row r="76" spans="1:8">
      <c r="A76">
        <v>0</v>
      </c>
      <c r="B76">
        <v>1.4</v>
      </c>
      <c r="C76">
        <v>22</v>
      </c>
      <c r="G76">
        <v>1.2</v>
      </c>
      <c r="H76">
        <v>22</v>
      </c>
    </row>
    <row r="77" spans="1:8">
      <c r="A77">
        <v>-2</v>
      </c>
      <c r="B77">
        <v>1.6</v>
      </c>
      <c r="C77">
        <v>22</v>
      </c>
      <c r="G77">
        <v>0.8</v>
      </c>
      <c r="H77">
        <v>22</v>
      </c>
    </row>
    <row r="78" spans="1:8">
      <c r="A78">
        <v>-4</v>
      </c>
      <c r="B78">
        <v>1.8</v>
      </c>
      <c r="C78">
        <v>21.8</v>
      </c>
      <c r="G78">
        <v>0.4</v>
      </c>
      <c r="H78">
        <v>21.8</v>
      </c>
    </row>
    <row r="79" spans="1:8">
      <c r="B79">
        <v>2</v>
      </c>
      <c r="D79" t="s">
        <v>19</v>
      </c>
      <c r="G79">
        <v>0</v>
      </c>
    </row>
    <row r="83" spans="1:4">
      <c r="A83" t="s">
        <v>22</v>
      </c>
    </row>
    <row r="84" spans="1:4">
      <c r="A84" t="s">
        <v>3</v>
      </c>
      <c r="B84" t="s">
        <v>17</v>
      </c>
      <c r="C84" t="s">
        <v>9</v>
      </c>
      <c r="D84" t="s">
        <v>21</v>
      </c>
    </row>
    <row r="85" spans="1:4">
      <c r="A85">
        <v>0</v>
      </c>
      <c r="B85">
        <v>0</v>
      </c>
      <c r="C85">
        <v>25.8</v>
      </c>
    </row>
    <row r="86" spans="1:4">
      <c r="A86">
        <v>-5</v>
      </c>
      <c r="B86">
        <v>0.2</v>
      </c>
    </row>
    <row r="87" spans="1:4">
      <c r="A87">
        <v>-14</v>
      </c>
      <c r="B87">
        <v>0.4</v>
      </c>
      <c r="C87">
        <v>25.7</v>
      </c>
    </row>
    <row r="88" spans="1:4">
      <c r="A88">
        <v>-18</v>
      </c>
      <c r="B88">
        <v>0.6</v>
      </c>
    </row>
    <row r="89" spans="1:4">
      <c r="A89">
        <v>-24</v>
      </c>
      <c r="B89">
        <v>0.8</v>
      </c>
    </row>
    <row r="90" spans="1:4">
      <c r="A90">
        <v>-27</v>
      </c>
      <c r="B90">
        <v>1</v>
      </c>
    </row>
    <row r="91" spans="1:4">
      <c r="A91">
        <v>-30</v>
      </c>
      <c r="B91">
        <v>1.21</v>
      </c>
    </row>
    <row r="92" spans="1:4">
      <c r="A92">
        <v>-32</v>
      </c>
      <c r="B92">
        <v>1.4</v>
      </c>
    </row>
    <row r="93" spans="1:4">
      <c r="A93">
        <v>-33</v>
      </c>
      <c r="B93">
        <v>1.63</v>
      </c>
    </row>
    <row r="94" spans="1:4">
      <c r="A94">
        <v>-33</v>
      </c>
      <c r="B94">
        <v>1.81</v>
      </c>
    </row>
    <row r="95" spans="1:4">
      <c r="A95">
        <v>-33</v>
      </c>
      <c r="B95">
        <v>2</v>
      </c>
    </row>
    <row r="96" spans="1:4">
      <c r="A96">
        <v>-26</v>
      </c>
      <c r="B96">
        <v>1.8</v>
      </c>
    </row>
    <row r="97" spans="1:4">
      <c r="A97">
        <v>-16</v>
      </c>
      <c r="B97">
        <v>1.6</v>
      </c>
    </row>
    <row r="98" spans="1:4">
      <c r="A98">
        <f>-5-30</f>
        <v>-35</v>
      </c>
      <c r="B98">
        <v>1.4</v>
      </c>
      <c r="C98">
        <v>26.2</v>
      </c>
      <c r="D98" t="s">
        <v>25</v>
      </c>
    </row>
    <row r="99" spans="1:4">
      <c r="A99">
        <v>42</v>
      </c>
      <c r="B99">
        <v>1.2</v>
      </c>
    </row>
    <row r="100" spans="1:4">
      <c r="A100">
        <v>55</v>
      </c>
      <c r="B100">
        <v>1</v>
      </c>
    </row>
    <row r="101" spans="1:4">
      <c r="A101">
        <v>74</v>
      </c>
      <c r="B101">
        <v>0.8</v>
      </c>
    </row>
    <row r="105" spans="1:4">
      <c r="A105" t="s">
        <v>29</v>
      </c>
    </row>
    <row r="106" spans="1:4">
      <c r="A106" t="s">
        <v>3</v>
      </c>
      <c r="B106" t="s">
        <v>17</v>
      </c>
      <c r="C106" t="s">
        <v>9</v>
      </c>
      <c r="D106" t="s">
        <v>23</v>
      </c>
    </row>
    <row r="107" spans="1:4">
      <c r="A107">
        <v>0</v>
      </c>
      <c r="B107">
        <v>0</v>
      </c>
    </row>
    <row r="108" spans="1:4">
      <c r="A108">
        <v>0</v>
      </c>
      <c r="B108">
        <v>0.41</v>
      </c>
    </row>
    <row r="109" spans="1:4">
      <c r="A109">
        <v>1</v>
      </c>
      <c r="B109">
        <v>0.81</v>
      </c>
    </row>
    <row r="110" spans="1:4">
      <c r="A110">
        <v>1</v>
      </c>
      <c r="B110">
        <v>1.21</v>
      </c>
    </row>
    <row r="111" spans="1:4">
      <c r="A111">
        <v>1</v>
      </c>
      <c r="B111">
        <v>1.61</v>
      </c>
    </row>
    <row r="112" spans="1:4">
      <c r="A112">
        <v>1</v>
      </c>
      <c r="B112">
        <v>2.0099999999999998</v>
      </c>
    </row>
    <row r="113" spans="1:3">
      <c r="A113">
        <v>1</v>
      </c>
      <c r="B113">
        <v>1.6</v>
      </c>
    </row>
    <row r="114" spans="1:3">
      <c r="A114">
        <v>2</v>
      </c>
      <c r="B114">
        <v>1.21</v>
      </c>
    </row>
    <row r="115" spans="1:3">
      <c r="A115">
        <v>5</v>
      </c>
      <c r="B115">
        <v>0.8</v>
      </c>
      <c r="C115" t="s">
        <v>24</v>
      </c>
    </row>
    <row r="116" spans="1:3">
      <c r="A116">
        <v>7</v>
      </c>
      <c r="B116">
        <v>0.39</v>
      </c>
    </row>
    <row r="117" spans="1:3">
      <c r="A117">
        <v>6</v>
      </c>
      <c r="B117">
        <v>0</v>
      </c>
    </row>
    <row r="120" spans="1:3">
      <c r="A120" t="s">
        <v>26</v>
      </c>
    </row>
    <row r="121" spans="1:3">
      <c r="A121" t="s">
        <v>6</v>
      </c>
      <c r="B121" t="s">
        <v>27</v>
      </c>
      <c r="C121" t="s">
        <v>28</v>
      </c>
    </row>
    <row r="122" spans="1:3">
      <c r="A122">
        <v>404</v>
      </c>
      <c r="B122">
        <v>3.4099999999999998E-2</v>
      </c>
      <c r="C122">
        <f>B122*4/A122*2*1000000</f>
        <v>675.24752475247521</v>
      </c>
    </row>
    <row r="123" spans="1:3">
      <c r="A123">
        <v>409</v>
      </c>
      <c r="B123">
        <v>3.3000000000000002E-2</v>
      </c>
      <c r="C123">
        <f>B123*4/A123*2*1000000</f>
        <v>645.47677261613694</v>
      </c>
    </row>
    <row r="124" spans="1:3">
      <c r="A124">
        <v>428</v>
      </c>
      <c r="B124">
        <v>3.5099999999999999E-2</v>
      </c>
      <c r="C124">
        <f>B124*4/A124*2*1000000</f>
        <v>656.07476635514013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2023-05-17T07:44:50Z</dcterms:created>
  <dcterms:modified xsi:type="dcterms:W3CDTF">2023-05-17T12:14:03Z</dcterms:modified>
</cp:coreProperties>
</file>