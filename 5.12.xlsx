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bingxiang/Desktop/Modern Phy Lab/C1-Modern Interferometry/"/>
    </mc:Choice>
  </mc:AlternateContent>
  <xr:revisionPtr revIDLastSave="0" documentId="13_ncr:1_{4CDEF872-8EAD-BD49-B237-66201A4D17F6}" xr6:coauthVersionLast="47" xr6:coauthVersionMax="47" xr10:uidLastSave="{00000000-0000-0000-0000-000000000000}"/>
  <bookViews>
    <workbookView xWindow="260" yWindow="500" windowWidth="28260" windowHeight="16880" xr2:uid="{D8B1C735-6E45-934D-935C-2E962A7DF49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34" i="1"/>
  <c r="D33" i="1"/>
  <c r="D32" i="1"/>
  <c r="D31" i="1"/>
  <c r="D30" i="1"/>
  <c r="D28" i="1"/>
  <c r="D27" i="1"/>
  <c r="D26" i="1"/>
  <c r="D25" i="1"/>
  <c r="D24" i="1"/>
  <c r="C34" i="1"/>
  <c r="C33" i="1"/>
  <c r="C32" i="1"/>
  <c r="C31" i="1"/>
  <c r="C30" i="1"/>
  <c r="C28" i="1"/>
  <c r="C27" i="1"/>
  <c r="C26" i="1"/>
  <c r="C25" i="1"/>
  <c r="C24" i="1"/>
  <c r="H20" i="1"/>
  <c r="H19" i="1"/>
  <c r="H18" i="1"/>
  <c r="H17" i="1"/>
  <c r="H16" i="1"/>
  <c r="H14" i="1"/>
  <c r="H13" i="1"/>
  <c r="H12" i="1"/>
  <c r="H11" i="1"/>
  <c r="H10" i="1"/>
  <c r="G10" i="1"/>
  <c r="G20" i="1"/>
  <c r="G19" i="1"/>
  <c r="G18" i="1"/>
  <c r="G17" i="1"/>
  <c r="G16" i="1"/>
  <c r="G14" i="1"/>
  <c r="G13" i="1"/>
  <c r="G12" i="1"/>
  <c r="G11" i="1"/>
  <c r="C6" i="1"/>
  <c r="C5" i="1"/>
  <c r="B4" i="1"/>
  <c r="C4" i="1" s="1"/>
</calcChain>
</file>

<file path=xl/sharedStrings.xml><?xml version="1.0" encoding="utf-8"?>
<sst xmlns="http://schemas.openxmlformats.org/spreadsheetml/2006/main" count="26" uniqueCount="16">
  <si>
    <t>HeNe wavelength</t>
    <phoneticPr fontId="1" type="noConversion"/>
  </si>
  <si>
    <t>counts</t>
    <phoneticPr fontId="1" type="noConversion"/>
  </si>
  <si>
    <t>mm</t>
    <phoneticPr fontId="1" type="noConversion"/>
  </si>
  <si>
    <t>IOR (glass)</t>
    <phoneticPr fontId="1" type="noConversion"/>
  </si>
  <si>
    <t>angle</t>
    <phoneticPr fontId="1" type="noConversion"/>
  </si>
  <si>
    <t>IOR</t>
    <phoneticPr fontId="1" type="noConversion"/>
  </si>
  <si>
    <t>用手機相機對角度 （比較準）</t>
    <phoneticPr fontId="1" type="noConversion"/>
  </si>
  <si>
    <t>IOR (quartz)</t>
    <phoneticPr fontId="1" type="noConversion"/>
  </si>
  <si>
    <t>IOR (air)</t>
    <phoneticPr fontId="1" type="noConversion"/>
  </si>
  <si>
    <t>pressure</t>
    <phoneticPr fontId="1" type="noConversion"/>
  </si>
  <si>
    <t>L=1.0 mm</t>
    <phoneticPr fontId="1" type="noConversion"/>
  </si>
  <si>
    <t>L=0.50 mm</t>
    <phoneticPr fontId="1" type="noConversion"/>
  </si>
  <si>
    <t>標準 1.55</t>
    <phoneticPr fontId="1" type="noConversion"/>
  </si>
  <si>
    <t>error (%)</t>
    <phoneticPr fontId="1" type="noConversion"/>
  </si>
  <si>
    <t>標準 633nm</t>
    <phoneticPr fontId="1" type="noConversion"/>
  </si>
  <si>
    <t>wavelength (nm)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</si>
</sst>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D5C3-87CC-F94F-937C-EE0826974908}">
  <dimension ref="A2:J37"/>
  <sheetViews>
    <sheetView tabSelected="1" topLeftCell="A24" zoomScale="136" workbookViewId="0">
      <selection activeCell="J37" sqref="J37"/>
    </sheetView>
  </sheetViews>
  <sheetFormatPr baseColWidth="10" defaultRowHeight="15"/>
  <sheetData>
    <row r="2" spans="1:10">
      <c r="A2" t="s">
        <v>0</v>
      </c>
    </row>
    <row r="3" spans="1:10">
      <c r="A3" t="s">
        <v>1</v>
      </c>
      <c r="B3" t="s">
        <v>2</v>
      </c>
      <c r="C3" t="s">
        <v>15</v>
      </c>
      <c r="D3" t="s">
        <v>13</v>
      </c>
      <c r="E3" t="s">
        <v>14</v>
      </c>
    </row>
    <row r="4" spans="1:10">
      <c r="A4">
        <v>498</v>
      </c>
      <c r="B4">
        <f>0.0451-0.0063</f>
        <v>3.8800000000000001E-2</v>
      </c>
      <c r="C4">
        <f>B4*4/A4*2*1000000</f>
        <v>623.29317269076307</v>
      </c>
      <c r="D4">
        <f>(C4-633)/633*100</f>
        <v>-1.5334640298952493</v>
      </c>
    </row>
    <row r="5" spans="1:10">
      <c r="A5">
        <v>512</v>
      </c>
      <c r="B5">
        <v>4.0899999999999999E-2</v>
      </c>
      <c r="C5">
        <f>B5*4/A5*2*1000000</f>
        <v>639.0625</v>
      </c>
      <c r="D5">
        <f>(C5-633)/633*100</f>
        <v>0.95774091627172198</v>
      </c>
    </row>
    <row r="6" spans="1:10">
      <c r="A6">
        <v>522</v>
      </c>
      <c r="B6">
        <v>4.2500000000000003E-2</v>
      </c>
      <c r="C6">
        <f>B6*4/A6*2*1000000</f>
        <v>651.34099616858248</v>
      </c>
      <c r="D6">
        <f>(C6-633)/633*100</f>
        <v>2.8974717485912285</v>
      </c>
    </row>
    <row r="8" spans="1:10">
      <c r="A8" t="s">
        <v>3</v>
      </c>
      <c r="E8" t="s">
        <v>6</v>
      </c>
    </row>
    <row r="9" spans="1:10">
      <c r="A9" t="s">
        <v>1</v>
      </c>
      <c r="B9" t="s">
        <v>4</v>
      </c>
      <c r="C9" t="s">
        <v>5</v>
      </c>
      <c r="E9" t="s">
        <v>1</v>
      </c>
      <c r="F9" t="s">
        <v>4</v>
      </c>
      <c r="H9" t="s">
        <v>13</v>
      </c>
      <c r="I9" t="s">
        <v>10</v>
      </c>
      <c r="J9" t="s">
        <v>12</v>
      </c>
    </row>
    <row r="10" spans="1:10">
      <c r="A10">
        <v>316</v>
      </c>
      <c r="B10">
        <v>80</v>
      </c>
      <c r="E10">
        <v>278</v>
      </c>
      <c r="F10">
        <v>80</v>
      </c>
      <c r="G10">
        <f>1/(1-E10*633/4/1000000/((F10-101)*PI()/180)^2)</f>
        <v>1.486961979305361</v>
      </c>
      <c r="H10">
        <f>(G10-1.55)/1.55*100</f>
        <v>-4.0669690770734865</v>
      </c>
    </row>
    <row r="11" spans="1:10">
      <c r="A11">
        <v>190</v>
      </c>
      <c r="B11">
        <v>84</v>
      </c>
      <c r="E11">
        <v>172</v>
      </c>
      <c r="F11">
        <v>84</v>
      </c>
      <c r="G11">
        <f>1/(1-E11*633/4/1000000/((F11-101)*PI()/180)^2)</f>
        <v>1.4475673043377939</v>
      </c>
      <c r="H11">
        <f>(G11-1.55)/1.55*100</f>
        <v>-6.6085610104649124</v>
      </c>
    </row>
    <row r="12" spans="1:10">
      <c r="A12">
        <v>101</v>
      </c>
      <c r="B12">
        <v>88</v>
      </c>
      <c r="E12">
        <v>89</v>
      </c>
      <c r="F12">
        <v>88</v>
      </c>
      <c r="G12">
        <f>1/(1-E12*633/4/1000000/((F12-101)*PI()/180)^2)</f>
        <v>1.3766235591639153</v>
      </c>
      <c r="H12">
        <f>(G12-1.55)/1.55*100</f>
        <v>-11.185576828134499</v>
      </c>
    </row>
    <row r="13" spans="1:10">
      <c r="A13">
        <v>53</v>
      </c>
      <c r="B13">
        <v>92</v>
      </c>
      <c r="E13">
        <v>47</v>
      </c>
      <c r="F13">
        <v>92</v>
      </c>
      <c r="G13">
        <f>1/(1-E13*633/4/1000000/((F13-101)*PI()/180)^2)</f>
        <v>1.4315176011099395</v>
      </c>
      <c r="H13">
        <f>(G13-1.55)/1.55*100</f>
        <v>-7.6440257348426135</v>
      </c>
    </row>
    <row r="14" spans="1:10">
      <c r="A14">
        <v>9</v>
      </c>
      <c r="B14">
        <v>96</v>
      </c>
      <c r="E14">
        <v>15</v>
      </c>
      <c r="F14">
        <v>96</v>
      </c>
      <c r="G14">
        <f>1/(1-E14*633/4/1000000/((F14-101)*PI()/180)^2)</f>
        <v>1.4528600585469653</v>
      </c>
      <c r="H14">
        <f>(G14-1.55)/1.55*100</f>
        <v>-6.267092996969982</v>
      </c>
    </row>
    <row r="15" spans="1:10">
      <c r="A15">
        <v>0</v>
      </c>
      <c r="B15">
        <v>100</v>
      </c>
      <c r="E15">
        <v>0</v>
      </c>
      <c r="F15">
        <v>101</v>
      </c>
    </row>
    <row r="16" spans="1:10">
      <c r="A16">
        <v>47</v>
      </c>
      <c r="B16">
        <v>110</v>
      </c>
      <c r="E16">
        <v>6</v>
      </c>
      <c r="F16">
        <v>104</v>
      </c>
      <c r="G16">
        <f>1/(1-E16*633/4/1000000/((F16-101)*PI()/180)^2)</f>
        <v>1.5298381232190028</v>
      </c>
      <c r="H16">
        <f>(G16-1.55)/1.55*100</f>
        <v>-1.3007662439353054</v>
      </c>
    </row>
    <row r="17" spans="1:8">
      <c r="A17">
        <v>228</v>
      </c>
      <c r="B17">
        <v>120</v>
      </c>
      <c r="E17">
        <v>35</v>
      </c>
      <c r="F17">
        <v>108</v>
      </c>
      <c r="G17">
        <f>1/(1-E17*633/4/1000000/((F17-101)*PI()/180)^2)</f>
        <v>1.5900130912297761</v>
      </c>
      <c r="H17">
        <f>(G17-1.55)/1.55*100</f>
        <v>2.5814897567597437</v>
      </c>
    </row>
    <row r="18" spans="1:8">
      <c r="A18">
        <v>556</v>
      </c>
      <c r="B18">
        <v>130</v>
      </c>
      <c r="E18">
        <v>81</v>
      </c>
      <c r="F18">
        <v>112</v>
      </c>
      <c r="G18">
        <f>1/(1-E18*633/4/1000000/((F18-101)*PI()/180)^2)</f>
        <v>1.5331949212338598</v>
      </c>
      <c r="H18">
        <f>(G18-1.55)/1.55*100</f>
        <v>-1.0841986300735635</v>
      </c>
    </row>
    <row r="19" spans="1:8">
      <c r="A19">
        <v>1112</v>
      </c>
      <c r="B19">
        <v>140</v>
      </c>
      <c r="E19">
        <v>157</v>
      </c>
      <c r="F19">
        <v>116</v>
      </c>
      <c r="G19">
        <f>1/(1-E19*633/4/1000000/((F19-101)*PI()/180)^2)</f>
        <v>1.5686235629005381</v>
      </c>
      <c r="H19">
        <f>(G19-1.55)/1.55*100</f>
        <v>1.2015201871314849</v>
      </c>
    </row>
    <row r="20" spans="1:8">
      <c r="A20">
        <v>1792</v>
      </c>
      <c r="B20">
        <v>150</v>
      </c>
      <c r="E20">
        <v>247</v>
      </c>
      <c r="F20">
        <v>120</v>
      </c>
      <c r="G20">
        <f>1/(1-E20*633/4/1000000/((F20-101)*PI()/180)^2)</f>
        <v>1.5514704439626588</v>
      </c>
      <c r="H20">
        <f>(G20-1.55)/1.55*100</f>
        <v>9.4867352429594737E-2</v>
      </c>
    </row>
    <row r="22" spans="1:8">
      <c r="A22" t="s">
        <v>7</v>
      </c>
    </row>
    <row r="23" spans="1:8">
      <c r="A23" t="s">
        <v>1</v>
      </c>
      <c r="B23" t="s">
        <v>4</v>
      </c>
      <c r="C23" t="s">
        <v>5</v>
      </c>
      <c r="D23" t="s">
        <v>13</v>
      </c>
      <c r="E23" t="s">
        <v>11</v>
      </c>
    </row>
    <row r="24" spans="1:8">
      <c r="A24">
        <v>150</v>
      </c>
      <c r="B24">
        <v>64</v>
      </c>
      <c r="C24">
        <f>1/(1-A24*633/4/500000/((B24-84)*PI()/180)^2)</f>
        <v>1.6383453514967019</v>
      </c>
      <c r="D24">
        <f>(C24-1.55)/1.55*100</f>
        <v>5.6997000965614104</v>
      </c>
    </row>
    <row r="25" spans="1:8">
      <c r="A25">
        <v>93</v>
      </c>
      <c r="B25">
        <v>68</v>
      </c>
      <c r="C25">
        <f>1/(1-A25*633/4/500000/((B25-84)*PI()/180)^2)</f>
        <v>1.6063023625519144</v>
      </c>
      <c r="D25">
        <f>(C25-1.55)/1.55*100</f>
        <v>3.6324104872202798</v>
      </c>
    </row>
    <row r="26" spans="1:8">
      <c r="A26">
        <v>54</v>
      </c>
      <c r="B26">
        <v>72</v>
      </c>
      <c r="C26">
        <f>1/(1-A26*633/4/500000/((B26-84)*PI()/180)^2)</f>
        <v>1.6383453514967015</v>
      </c>
      <c r="D26">
        <f>(C26-1.55)/1.55*100</f>
        <v>5.699700096561382</v>
      </c>
    </row>
    <row r="27" spans="1:8">
      <c r="A27">
        <v>26</v>
      </c>
      <c r="B27">
        <v>76</v>
      </c>
      <c r="C27">
        <f>1/(1-A27*633/4/500000/((B27-84)*PI()/180)^2)</f>
        <v>1.7303944562819733</v>
      </c>
      <c r="D27">
        <f>(C27-1.55)/1.55*100</f>
        <v>11.638352018191824</v>
      </c>
    </row>
    <row r="28" spans="1:8">
      <c r="A28">
        <v>7</v>
      </c>
      <c r="B28">
        <v>80</v>
      </c>
      <c r="C28">
        <f>1/(1-A28*633/4/500000/((B28-84)*PI()/180)^2)</f>
        <v>1.8334026999900608</v>
      </c>
      <c r="D28">
        <f>(C28-1.55)/1.55*100</f>
        <v>18.284045160649079</v>
      </c>
    </row>
    <row r="29" spans="1:8">
      <c r="A29">
        <v>0</v>
      </c>
      <c r="B29">
        <v>84</v>
      </c>
    </row>
    <row r="30" spans="1:8">
      <c r="A30">
        <v>6</v>
      </c>
      <c r="B30">
        <v>88</v>
      </c>
      <c r="C30">
        <f>1/(1-A30*633/4/500000/((B30-84)*PI()/180)^2)</f>
        <v>1.6383453514967015</v>
      </c>
      <c r="D30">
        <f>(C30-1.55)/1.55*100</f>
        <v>5.699700096561382</v>
      </c>
    </row>
    <row r="31" spans="1:8">
      <c r="A31">
        <v>20</v>
      </c>
      <c r="B31">
        <v>92</v>
      </c>
      <c r="C31">
        <f>1/(1-A31*633/4/500000/((B31-84)*PI()/180)^2)</f>
        <v>1.4808015534720398</v>
      </c>
      <c r="D31">
        <f>(C31-1.55)/1.55*100</f>
        <v>-4.4644159050296937</v>
      </c>
    </row>
    <row r="32" spans="1:8">
      <c r="A32">
        <v>52</v>
      </c>
      <c r="B32">
        <v>96</v>
      </c>
      <c r="C32">
        <f>1/(1-A32*633/4/500000/((B32-84)*PI()/180)^2)</f>
        <v>1.6005055269350799</v>
      </c>
      <c r="D32">
        <f>(C32-1.55)/1.55*100</f>
        <v>3.2584210925857939</v>
      </c>
    </row>
    <row r="33" spans="1:4">
      <c r="A33">
        <v>89</v>
      </c>
      <c r="B33">
        <v>100</v>
      </c>
      <c r="C33">
        <f>1/(1-A33*633/4/500000/((B33-84)*PI()/180)^2)</f>
        <v>1.5654785625100136</v>
      </c>
      <c r="D33">
        <f>(C33-1.55)/1.55*100</f>
        <v>0.99861693612990698</v>
      </c>
    </row>
    <row r="34" spans="1:4">
      <c r="A34">
        <v>146</v>
      </c>
      <c r="B34">
        <v>104</v>
      </c>
      <c r="C34">
        <f>1/(1-A34*633/4/500000/((B34-84)*PI()/180)^2)</f>
        <v>1.6109233401421081</v>
      </c>
      <c r="D34">
        <f>(C34-1.55)/1.55*100</f>
        <v>3.9305380736843936</v>
      </c>
    </row>
    <row r="36" spans="1:4">
      <c r="A36" t="s">
        <v>8</v>
      </c>
    </row>
    <row r="37" spans="1:4">
      <c r="A37" t="s">
        <v>1</v>
      </c>
      <c r="B37" t="s">
        <v>9</v>
      </c>
      <c r="C37" t="s">
        <v>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2023-05-12T03:27:21Z</dcterms:created>
  <dcterms:modified xsi:type="dcterms:W3CDTF">2023-05-15T07:24:39Z</dcterms:modified>
</cp:coreProperties>
</file>