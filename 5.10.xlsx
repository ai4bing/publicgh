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ingxiang/Desktop/Modern Phy Lab/C1-/"/>
    </mc:Choice>
  </mc:AlternateContent>
  <xr:revisionPtr revIDLastSave="0" documentId="8_{3C03E62B-E177-FB42-A28D-47F112E72829}" xr6:coauthVersionLast="47" xr6:coauthVersionMax="47" xr10:uidLastSave="{00000000-0000-0000-0000-000000000000}"/>
  <bookViews>
    <workbookView xWindow="260" yWindow="500" windowWidth="28260" windowHeight="16880" xr2:uid="{F7D33BD7-00D6-A141-B086-AB902D5842C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1" l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5" i="1"/>
  <c r="E35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3" i="1"/>
  <c r="E23" i="1" s="1"/>
  <c r="E19" i="1"/>
  <c r="E18" i="1"/>
  <c r="E17" i="1"/>
  <c r="E16" i="1"/>
  <c r="E15" i="1"/>
  <c r="E14" i="1"/>
  <c r="E13" i="1"/>
  <c r="E11" i="1"/>
  <c r="D19" i="1"/>
  <c r="D18" i="1"/>
  <c r="D17" i="1"/>
  <c r="D16" i="1"/>
  <c r="D15" i="1"/>
  <c r="D14" i="1"/>
  <c r="D13" i="1"/>
  <c r="D11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<sst xmlns="http://schemas.openxmlformats.org/spreadsheetml/2006/main" count="35" uniqueCount="18">
  <si>
    <t>mm</t>
    <phoneticPr fontId="1" type="noConversion"/>
  </si>
  <si>
    <t>count</t>
    <phoneticPr fontId="1" type="noConversion"/>
  </si>
  <si>
    <t>時寬時窄(步伐)</t>
    <phoneticPr fontId="1" type="noConversion"/>
  </si>
  <si>
    <t>波長</t>
    <phoneticPr fontId="1" type="noConversion"/>
  </si>
  <si>
    <t>熱膨脹 (Al)</t>
    <phoneticPr fontId="1" type="noConversion"/>
  </si>
  <si>
    <t>temp</t>
    <phoneticPr fontId="1" type="noConversion"/>
  </si>
  <si>
    <t>length (cm)</t>
    <phoneticPr fontId="1" type="noConversion"/>
  </si>
  <si>
    <t>κ</t>
    <phoneticPr fontId="1" type="noConversion"/>
  </si>
  <si>
    <r>
      <rPr>
        <sz val="12"/>
        <color theme="1"/>
        <rFont val="新細明體"/>
        <family val="1"/>
        <scheme val="minor"/>
      </rPr>
      <t>∆</t>
    </r>
    <r>
      <rPr>
        <sz val="12"/>
        <color theme="1"/>
        <rFont val="新細明體"/>
        <family val="1"/>
        <charset val="136"/>
        <scheme val="minor"/>
      </rPr>
      <t>L</t>
    </r>
    <r>
      <rPr>
        <sz val="12"/>
        <color theme="1"/>
        <rFont val="新細明體"/>
        <family val="2"/>
        <charset val="136"/>
        <scheme val="minor"/>
      </rPr>
      <t xml:space="preserve"> (mm)</t>
    </r>
    <phoneticPr fontId="1" type="noConversion"/>
  </si>
  <si>
    <t>熱膨脹 (Cu)</t>
    <phoneticPr fontId="1" type="noConversion"/>
  </si>
  <si>
    <t>not at thermal eq</t>
    <phoneticPr fontId="1" type="noConversion"/>
  </si>
  <si>
    <t>X</t>
    <phoneticPr fontId="1" type="noConversion"/>
  </si>
  <si>
    <t>絕熱膠帶不能貼銅棒前後，因為他很軟會增加不準度</t>
    <phoneticPr fontId="1" type="noConversion"/>
  </si>
  <si>
    <t>current</t>
    <phoneticPr fontId="1" type="noConversion"/>
  </si>
  <si>
    <t>magnetostriction (Al)</t>
    <phoneticPr fontId="1" type="noConversion"/>
  </si>
  <si>
    <t>ms (Fe)</t>
    <phoneticPr fontId="1" type="noConversion"/>
  </si>
  <si>
    <t>nm</t>
    <phoneticPr fontId="1" type="noConversion"/>
  </si>
  <si>
    <t>current 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</si>
</sst>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0364-AF4C-3349-87AD-188E584D0052}">
  <dimension ref="A1:G75"/>
  <sheetViews>
    <sheetView tabSelected="1" topLeftCell="A53" zoomScale="150" workbookViewId="0">
      <selection activeCell="C57" sqref="C57"/>
    </sheetView>
  </sheetViews>
  <sheetFormatPr baseColWidth="10" defaultRowHeight="15"/>
  <cols>
    <col min="5" max="5" width="13.1640625" bestFit="1" customWidth="1"/>
  </cols>
  <sheetData>
    <row r="1" spans="1:7">
      <c r="A1" t="s">
        <v>3</v>
      </c>
    </row>
    <row r="2" spans="1:7">
      <c r="A2" t="s">
        <v>1</v>
      </c>
      <c r="B2" t="s">
        <v>0</v>
      </c>
      <c r="C2" t="s">
        <v>16</v>
      </c>
    </row>
    <row r="3" spans="1:7">
      <c r="A3">
        <v>525</v>
      </c>
      <c r="B3">
        <v>4.4499999999999998E-2</v>
      </c>
      <c r="C3">
        <f>B3*4/A3*2*1000000</f>
        <v>678.09523809523807</v>
      </c>
    </row>
    <row r="4" spans="1:7">
      <c r="A4">
        <v>472</v>
      </c>
      <c r="B4">
        <v>3.7400000000000003E-2</v>
      </c>
      <c r="C4">
        <f>B4*4/A4*2*1000000</f>
        <v>633.89830508474586</v>
      </c>
    </row>
    <row r="5" spans="1:7">
      <c r="A5">
        <v>518</v>
      </c>
      <c r="B5">
        <v>4.0099999999999997E-2</v>
      </c>
      <c r="C5">
        <f>B5*4/A5*2*1000000</f>
        <v>619.3050193050193</v>
      </c>
    </row>
    <row r="6" spans="1:7">
      <c r="A6">
        <v>510</v>
      </c>
      <c r="B6">
        <v>3.6499999999999998E-2</v>
      </c>
      <c r="C6">
        <f>B6*4/A6*2*1000000</f>
        <v>572.54901960784309</v>
      </c>
      <c r="D6" t="s">
        <v>2</v>
      </c>
    </row>
    <row r="7" spans="1:7">
      <c r="A7">
        <v>502</v>
      </c>
      <c r="B7">
        <v>4.0099999999999997E-2</v>
      </c>
      <c r="C7">
        <f>B7*4/A7*2*1000000</f>
        <v>639.04382470119515</v>
      </c>
    </row>
    <row r="9" spans="1:7">
      <c r="A9" t="s">
        <v>4</v>
      </c>
      <c r="B9" t="s">
        <v>11</v>
      </c>
    </row>
    <row r="10" spans="1:7">
      <c r="A10" t="s">
        <v>5</v>
      </c>
      <c r="B10" t="s">
        <v>1</v>
      </c>
      <c r="C10" t="s">
        <v>6</v>
      </c>
      <c r="D10" s="1" t="s">
        <v>8</v>
      </c>
      <c r="E10" t="s">
        <v>7</v>
      </c>
    </row>
    <row r="11" spans="1:7">
      <c r="A11">
        <v>27</v>
      </c>
      <c r="B11">
        <v>0</v>
      </c>
      <c r="D11">
        <f>(B11-7)/472*0.0374</f>
        <v>-5.5466101694915261E-4</v>
      </c>
      <c r="E11">
        <f>D11/(A11-30)/60</f>
        <v>3.0814500941619591E-6</v>
      </c>
      <c r="G11" t="s">
        <v>10</v>
      </c>
    </row>
    <row r="12" spans="1:7">
      <c r="A12">
        <v>30</v>
      </c>
      <c r="B12">
        <v>7</v>
      </c>
      <c r="C12">
        <v>6</v>
      </c>
      <c r="D12">
        <v>0</v>
      </c>
    </row>
    <row r="13" spans="1:7">
      <c r="A13">
        <v>35</v>
      </c>
      <c r="B13">
        <v>29</v>
      </c>
      <c r="D13">
        <f>(B13-7)/472*0.0374</f>
        <v>1.743220338983051E-3</v>
      </c>
      <c r="E13">
        <f>D13/(A13-30)/60</f>
        <v>5.8107344632768361E-6</v>
      </c>
    </row>
    <row r="14" spans="1:7">
      <c r="A14">
        <v>40</v>
      </c>
      <c r="B14">
        <v>58</v>
      </c>
      <c r="D14">
        <f>(B14-7)/472*0.0374</f>
        <v>4.0411016949152547E-3</v>
      </c>
      <c r="E14">
        <f>D14/(A14-30)/60</f>
        <v>6.7351694915254246E-6</v>
      </c>
    </row>
    <row r="15" spans="1:7">
      <c r="A15">
        <v>45</v>
      </c>
      <c r="B15">
        <v>82</v>
      </c>
      <c r="D15">
        <f>(B15-7)/472*0.0374</f>
        <v>5.9427966101694915E-3</v>
      </c>
      <c r="E15">
        <f>D15/(A15-30)/60</f>
        <v>6.6031073446327682E-6</v>
      </c>
    </row>
    <row r="16" spans="1:7">
      <c r="A16">
        <v>50</v>
      </c>
      <c r="B16">
        <v>88</v>
      </c>
      <c r="D16">
        <f>(B16-7)/472*0.0374</f>
        <v>6.4182203389830505E-3</v>
      </c>
      <c r="E16">
        <f>D16/(A16-30)/60</f>
        <v>5.3485169491525423E-6</v>
      </c>
    </row>
    <row r="17" spans="1:5">
      <c r="A17">
        <v>45</v>
      </c>
      <c r="B17">
        <v>49</v>
      </c>
      <c r="D17">
        <f>(B17-7)/472*0.0374</f>
        <v>3.3279661016949154E-3</v>
      </c>
      <c r="E17">
        <f>D17/(A17-30)/60</f>
        <v>3.6977401129943506E-6</v>
      </c>
    </row>
    <row r="18" spans="1:5">
      <c r="A18">
        <v>40</v>
      </c>
      <c r="B18">
        <v>-30</v>
      </c>
      <c r="D18">
        <f>(B18-7)/472*0.0374</f>
        <v>-2.9317796610169493E-3</v>
      </c>
      <c r="E18">
        <f>D18/(A18-30)/60</f>
        <v>-4.8862994350282493E-6</v>
      </c>
    </row>
    <row r="19" spans="1:5">
      <c r="A19">
        <v>35</v>
      </c>
      <c r="B19">
        <v>-172</v>
      </c>
      <c r="D19">
        <f>(B19-7)/472*0.0374</f>
        <v>-1.4183474576271187E-2</v>
      </c>
      <c r="E19">
        <f>D19/(A19-30)/60</f>
        <v>-4.7278248587570623E-5</v>
      </c>
    </row>
    <row r="21" spans="1:5">
      <c r="A21" t="s">
        <v>9</v>
      </c>
      <c r="B21" t="s">
        <v>11</v>
      </c>
    </row>
    <row r="22" spans="1:5">
      <c r="A22" t="s">
        <v>5</v>
      </c>
      <c r="B22" t="s">
        <v>1</v>
      </c>
      <c r="C22" t="s">
        <v>6</v>
      </c>
      <c r="D22" s="1" t="s">
        <v>8</v>
      </c>
      <c r="E22" t="s">
        <v>7</v>
      </c>
    </row>
    <row r="23" spans="1:5">
      <c r="A23">
        <v>24.5</v>
      </c>
      <c r="B23">
        <v>-9</v>
      </c>
      <c r="D23">
        <f>(B23-7)/472*0.0374</f>
        <v>-1.2677966101694916E-3</v>
      </c>
      <c r="E23">
        <f>D23/(A23-30)/60</f>
        <v>3.8418079096045198E-6</v>
      </c>
    </row>
    <row r="24" spans="1:5">
      <c r="A24">
        <v>30</v>
      </c>
      <c r="B24">
        <v>0</v>
      </c>
      <c r="C24">
        <v>6</v>
      </c>
      <c r="D24">
        <v>0</v>
      </c>
    </row>
    <row r="25" spans="1:5">
      <c r="A25">
        <v>35</v>
      </c>
      <c r="B25">
        <v>42</v>
      </c>
      <c r="D25">
        <f>(B25-7)/472*0.0374</f>
        <v>2.7733050847457627E-3</v>
      </c>
      <c r="E25">
        <f>D25/(A25-30)/60</f>
        <v>9.2443502824858748E-6</v>
      </c>
    </row>
    <row r="26" spans="1:5">
      <c r="A26">
        <v>40</v>
      </c>
      <c r="B26">
        <v>94</v>
      </c>
      <c r="D26">
        <f>(B26-7)/472*0.0374</f>
        <v>6.8936440677966112E-3</v>
      </c>
      <c r="E26">
        <f>D26/(A26-30)/60</f>
        <v>1.1489406779661018E-5</v>
      </c>
    </row>
    <row r="27" spans="1:5">
      <c r="A27">
        <v>45</v>
      </c>
      <c r="B27">
        <v>158</v>
      </c>
      <c r="D27">
        <f>(B27-7)/472*0.0374</f>
        <v>1.1964830508474576E-2</v>
      </c>
      <c r="E27">
        <f>D27/(A27-30)/60</f>
        <v>1.3294256120527307E-5</v>
      </c>
    </row>
    <row r="28" spans="1:5">
      <c r="A28">
        <v>50</v>
      </c>
      <c r="B28">
        <v>216</v>
      </c>
      <c r="D28">
        <f>(B28-7)/472*0.0374</f>
        <v>1.6560593220338985E-2</v>
      </c>
      <c r="E28">
        <f>D28/(A28-30)/60</f>
        <v>1.3800494350282487E-5</v>
      </c>
    </row>
    <row r="29" spans="1:5">
      <c r="A29">
        <v>45</v>
      </c>
      <c r="B29">
        <v>220</v>
      </c>
      <c r="D29">
        <f>(B29-7)/472*0.0374</f>
        <v>1.6877542372881357E-2</v>
      </c>
      <c r="E29">
        <f>D29/(A29-30)/60</f>
        <v>1.8752824858757062E-5</v>
      </c>
    </row>
    <row r="30" spans="1:5">
      <c r="A30">
        <v>40</v>
      </c>
      <c r="B30">
        <v>-30</v>
      </c>
      <c r="D30">
        <f>(B30-7)/472*0.0374</f>
        <v>-2.9317796610169493E-3</v>
      </c>
      <c r="E30">
        <f>D30/(A30-30)/60</f>
        <v>-4.8862994350282493E-6</v>
      </c>
    </row>
    <row r="31" spans="1:5">
      <c r="A31">
        <v>35</v>
      </c>
      <c r="B31">
        <v>-172</v>
      </c>
      <c r="D31">
        <f>(B31-7)/472*0.0374</f>
        <v>-1.4183474576271187E-2</v>
      </c>
      <c r="E31">
        <f>D31/(A31-30)/60</f>
        <v>-4.7278248587570623E-5</v>
      </c>
    </row>
    <row r="33" spans="1:6">
      <c r="A33" t="s">
        <v>9</v>
      </c>
      <c r="F33" t="s">
        <v>12</v>
      </c>
    </row>
    <row r="34" spans="1:6">
      <c r="A34" t="s">
        <v>5</v>
      </c>
      <c r="B34" t="s">
        <v>1</v>
      </c>
      <c r="C34" t="s">
        <v>6</v>
      </c>
      <c r="D34" s="1" t="s">
        <v>8</v>
      </c>
      <c r="E34" t="s">
        <v>7</v>
      </c>
    </row>
    <row r="35" spans="1:6">
      <c r="A35">
        <v>25.4</v>
      </c>
      <c r="B35">
        <v>0</v>
      </c>
      <c r="D35">
        <f>(B35-7)/472*0.0374</f>
        <v>-5.5466101694915261E-4</v>
      </c>
      <c r="E35">
        <f>D35/(A35-30)/60</f>
        <v>2.0096413657577987E-6</v>
      </c>
    </row>
    <row r="36" spans="1:6">
      <c r="A36">
        <v>30</v>
      </c>
      <c r="B36">
        <v>0</v>
      </c>
      <c r="C36">
        <v>6</v>
      </c>
      <c r="D36">
        <v>0</v>
      </c>
    </row>
    <row r="37" spans="1:6">
      <c r="A37">
        <v>35</v>
      </c>
      <c r="B37">
        <v>10</v>
      </c>
      <c r="D37">
        <f>(B37-7)/472*0.0374</f>
        <v>2.377118644067797E-4</v>
      </c>
      <c r="E37">
        <f>D37/(A37-30)/60</f>
        <v>7.9237288135593237E-7</v>
      </c>
    </row>
    <row r="38" spans="1:6">
      <c r="A38">
        <v>40</v>
      </c>
      <c r="B38">
        <v>32</v>
      </c>
      <c r="D38">
        <f>(B38-7)/472*0.0374</f>
        <v>1.9809322033898305E-3</v>
      </c>
      <c r="E38">
        <f>D38/(A38-30)/60</f>
        <v>3.3015536723163841E-6</v>
      </c>
    </row>
    <row r="39" spans="1:6">
      <c r="A39">
        <v>45</v>
      </c>
      <c r="B39">
        <v>86</v>
      </c>
      <c r="D39">
        <f>(B39-7)/472*0.0374</f>
        <v>6.2597457627118647E-3</v>
      </c>
      <c r="E39">
        <f>D39/(A39-30)/60</f>
        <v>6.9552730696798504E-6</v>
      </c>
    </row>
    <row r="40" spans="1:6">
      <c r="A40">
        <v>50</v>
      </c>
      <c r="B40">
        <v>169</v>
      </c>
      <c r="D40">
        <f>(B40-7)/472*0.0374</f>
        <v>1.2836440677966101E-2</v>
      </c>
      <c r="E40">
        <f>D40/(A40-30)/60</f>
        <v>1.0697033898305085E-5</v>
      </c>
    </row>
    <row r="41" spans="1:6">
      <c r="A41">
        <v>45</v>
      </c>
      <c r="B41">
        <v>184</v>
      </c>
      <c r="D41">
        <f>(B41-7)/472*0.0374</f>
        <v>1.4025000000000001E-2</v>
      </c>
      <c r="E41">
        <f>D41/(A41-30)/60</f>
        <v>1.5583333333333334E-5</v>
      </c>
    </row>
    <row r="42" spans="1:6">
      <c r="A42">
        <v>40</v>
      </c>
      <c r="B42">
        <v>129</v>
      </c>
      <c r="D42">
        <f>(B42-7)/472*0.0374</f>
        <v>9.6669491525423722E-3</v>
      </c>
      <c r="E42">
        <f>D42/(A42-30)/60</f>
        <v>1.6111581920903952E-5</v>
      </c>
    </row>
    <row r="43" spans="1:6">
      <c r="A43">
        <v>35</v>
      </c>
      <c r="B43">
        <v>80</v>
      </c>
      <c r="D43">
        <f>(B43-7)/472*0.0374</f>
        <v>5.7843220338983058E-3</v>
      </c>
      <c r="E43">
        <f>D43/(A43-30)/60</f>
        <v>1.9281073446327688E-5</v>
      </c>
    </row>
    <row r="45" spans="1:6">
      <c r="A45" t="s">
        <v>14</v>
      </c>
    </row>
    <row r="46" spans="1:6">
      <c r="A46" t="s">
        <v>13</v>
      </c>
      <c r="B46" t="s">
        <v>1</v>
      </c>
      <c r="C46" s="1" t="s">
        <v>8</v>
      </c>
    </row>
    <row r="47" spans="1:6">
      <c r="A47">
        <v>0.1</v>
      </c>
      <c r="B47">
        <v>0</v>
      </c>
    </row>
    <row r="48" spans="1:6">
      <c r="A48">
        <v>0.2</v>
      </c>
      <c r="B48">
        <v>541</v>
      </c>
    </row>
    <row r="49" spans="1:3">
      <c r="A49">
        <v>0.3</v>
      </c>
      <c r="B49">
        <v>232</v>
      </c>
    </row>
    <row r="50" spans="1:3">
      <c r="A50">
        <v>0.4</v>
      </c>
      <c r="B50">
        <v>232</v>
      </c>
    </row>
    <row r="51" spans="1:3">
      <c r="A51">
        <v>0.5</v>
      </c>
    </row>
    <row r="52" spans="1:3">
      <c r="A52">
        <v>0.6</v>
      </c>
    </row>
    <row r="53" spans="1:3">
      <c r="A53">
        <v>0.7</v>
      </c>
    </row>
    <row r="55" spans="1:3">
      <c r="A55" t="s">
        <v>15</v>
      </c>
    </row>
    <row r="56" spans="1:3">
      <c r="A56" t="s">
        <v>17</v>
      </c>
      <c r="B56" t="s">
        <v>1</v>
      </c>
      <c r="C56" s="1" t="s">
        <v>8</v>
      </c>
    </row>
    <row r="57" spans="1:3">
      <c r="A57">
        <v>0.11</v>
      </c>
      <c r="B57">
        <v>0</v>
      </c>
    </row>
    <row r="58" spans="1:3">
      <c r="A58">
        <v>0.21</v>
      </c>
      <c r="B58">
        <v>2</v>
      </c>
    </row>
    <row r="59" spans="1:3">
      <c r="A59">
        <v>0.3</v>
      </c>
      <c r="B59">
        <v>6</v>
      </c>
    </row>
    <row r="60" spans="1:3">
      <c r="A60">
        <v>0.4</v>
      </c>
      <c r="B60">
        <v>9</v>
      </c>
    </row>
    <row r="61" spans="1:3">
      <c r="A61">
        <v>0.5</v>
      </c>
      <c r="B61">
        <v>11</v>
      </c>
    </row>
    <row r="62" spans="1:3">
      <c r="A62">
        <v>0.59</v>
      </c>
      <c r="B62">
        <v>14</v>
      </c>
    </row>
    <row r="63" spans="1:3">
      <c r="A63">
        <v>0.7</v>
      </c>
      <c r="B63">
        <v>16</v>
      </c>
    </row>
    <row r="64" spans="1:3">
      <c r="A64">
        <v>0.82</v>
      </c>
      <c r="B64">
        <v>18</v>
      </c>
    </row>
    <row r="65" spans="1:2">
      <c r="A65">
        <v>0.89</v>
      </c>
      <c r="B65">
        <v>22</v>
      </c>
    </row>
    <row r="66" spans="1:2">
      <c r="A66">
        <v>1</v>
      </c>
      <c r="B66">
        <v>24</v>
      </c>
    </row>
    <row r="67" spans="1:2">
      <c r="A67">
        <v>0.9</v>
      </c>
      <c r="B67">
        <v>31</v>
      </c>
    </row>
    <row r="68" spans="1:2">
      <c r="A68">
        <v>0.8</v>
      </c>
      <c r="B68">
        <v>35</v>
      </c>
    </row>
    <row r="69" spans="1:2">
      <c r="A69">
        <v>0.69</v>
      </c>
      <c r="B69">
        <v>39</v>
      </c>
    </row>
    <row r="70" spans="1:2">
      <c r="A70">
        <v>0.61</v>
      </c>
      <c r="B70">
        <v>42</v>
      </c>
    </row>
    <row r="71" spans="1:2">
      <c r="A71">
        <v>0.5</v>
      </c>
      <c r="B71">
        <v>46</v>
      </c>
    </row>
    <row r="72" spans="1:2">
      <c r="A72">
        <v>0.4</v>
      </c>
      <c r="B72">
        <v>50</v>
      </c>
    </row>
    <row r="73" spans="1:2">
      <c r="A73">
        <v>0.3</v>
      </c>
      <c r="B73">
        <v>56</v>
      </c>
    </row>
    <row r="74" spans="1:2">
      <c r="A74">
        <v>0.2</v>
      </c>
      <c r="B74">
        <v>60</v>
      </c>
    </row>
    <row r="75" spans="1:2">
      <c r="A75">
        <v>0.1</v>
      </c>
      <c r="B75">
        <v>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2023-05-10T08:56:15Z</dcterms:created>
  <dcterms:modified xsi:type="dcterms:W3CDTF">2023-05-10T12:13:07Z</dcterms:modified>
</cp:coreProperties>
</file>